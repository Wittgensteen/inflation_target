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ikeevks\Desktop\финальный свод\"/>
    </mc:Choice>
  </mc:AlternateContent>
  <bookViews>
    <workbookView xWindow="0" yWindow="0" windowWidth="28800" windowHeight="9600"/>
  </bookViews>
  <sheets>
    <sheet name="5_Y_NB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F13" i="1"/>
  <c r="E13" i="1"/>
  <c r="D13" i="1"/>
  <c r="C13" i="1"/>
  <c r="B13" i="1"/>
  <c r="G12" i="1"/>
  <c r="F12" i="1"/>
  <c r="E12" i="1"/>
  <c r="D12" i="1"/>
  <c r="C12" i="1"/>
  <c r="B12" i="1"/>
  <c r="G11" i="1"/>
  <c r="F11" i="1"/>
  <c r="E11" i="1"/>
  <c r="D11" i="1"/>
  <c r="C11" i="1"/>
  <c r="B11" i="1"/>
  <c r="G10" i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  <c r="G4" i="1"/>
  <c r="F4" i="1"/>
  <c r="E4" i="1"/>
  <c r="D4" i="1"/>
  <c r="C4" i="1"/>
  <c r="B4" i="1"/>
  <c r="G3" i="1"/>
  <c r="F3" i="1"/>
  <c r="E3" i="1"/>
  <c r="D3" i="1"/>
  <c r="C3" i="1"/>
  <c r="B3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<sst xmlns="http://schemas.openxmlformats.org/spreadsheetml/2006/main" count="13" uniqueCount="13">
  <si>
    <t>Y_cum</t>
  </si>
  <si>
    <t>Pi</t>
  </si>
  <si>
    <t>R</t>
  </si>
  <si>
    <t>Un</t>
  </si>
  <si>
    <t>dY</t>
  </si>
  <si>
    <t>Y</t>
  </si>
  <si>
    <t>M2</t>
  </si>
  <si>
    <t>Ex</t>
  </si>
  <si>
    <t>Im</t>
  </si>
  <si>
    <t>Fx</t>
  </si>
  <si>
    <t>Oil</t>
  </si>
  <si>
    <t>Bud</t>
  </si>
  <si>
    <t>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</si>
</sst>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</font>
    <font>
      <sz val="11"/>
      <color rgb="FFFF0000"/>
      <name val="Calibri"/>
      <family val="2"/>
      <charset val="204"/>
    </font>
    <font>
      <sz val="11"/>
      <color rgb="FF0070C0"/>
      <name val="Calibri"/>
      <family val="2"/>
      <charset val="204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/>
  </cellStyleXfs>
  <cellXfs count="8">
    <xf numFmtId="0" fontId="0" fillId="0" borderId="0" xfId="0"/>
    <xf numFmtId="0" fontId="0" fillId="0" borderId="0" xfId="0" applyFont="1" applyBorder="1" applyAlignment="1"/>
    <xf numFmtId="0" fontId="1" fillId="0" borderId="0" xfId="0" applyNumberFormat="1" applyFont="1" applyBorder="1" applyAlignment="1"/>
    <xf numFmtId="0" fontId="0" fillId="0" borderId="0" xfId="0" applyNumberFormat="1" applyFont="1" applyBorder="1" applyAlignment="1"/>
    <xf numFmtId="49" fontId="0" fillId="0" borderId="0" xfId="0" applyNumberFormat="1" applyFont="1" applyBorder="1" applyAlignment="1"/>
    <xf numFmtId="0" fontId="2" fillId="0" borderId="0" xfId="0" applyNumberFormat="1" applyFont="1" applyBorder="1" applyAlignment="1">
      <alignment vertical="center"/>
    </xf>
    <xf numFmtId="0" fontId="3" fillId="0" borderId="0" xfId="0" applyNumberFormat="1" applyFont="1" applyBorder="1" applyAlignment="1"/>
    <xf numFmtId="0" fontId="2" fillId="0" borderId="0" xfId="0" applyNumberFormat="1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us_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"/>
      <sheetName val="4_Y_NB"/>
      <sheetName val="5_Y_NB"/>
      <sheetName val="6_Y_NB"/>
      <sheetName val="2Q"/>
      <sheetName val="2Y-nom"/>
      <sheetName val="2Q-nom"/>
    </sheetNames>
    <sheetDataSet>
      <sheetData sheetId="0">
        <row r="2">
          <cell r="M2">
            <v>1.2529399999999999</v>
          </cell>
          <cell r="N2">
            <v>4.6812399999999998</v>
          </cell>
          <cell r="O2">
            <v>7.9908200000000003</v>
          </cell>
          <cell r="P2">
            <v>4.1269600000000004</v>
          </cell>
          <cell r="Q2">
            <v>2.9521099999999998</v>
          </cell>
          <cell r="R2">
            <v>2.6343000000000001</v>
          </cell>
        </row>
        <row r="3">
          <cell r="M3">
            <v>7.0000000000000007E-2</v>
          </cell>
          <cell r="N3">
            <v>4.33</v>
          </cell>
          <cell r="O3">
            <v>5.33</v>
          </cell>
          <cell r="P3">
            <v>4.33</v>
          </cell>
          <cell r="Q3">
            <v>3.64</v>
          </cell>
          <cell r="R3">
            <v>3.63</v>
          </cell>
        </row>
        <row r="4">
          <cell r="M4">
            <v>6.7</v>
          </cell>
          <cell r="N4">
            <v>3.9</v>
          </cell>
          <cell r="O4">
            <v>3.5</v>
          </cell>
          <cell r="P4">
            <v>3.8</v>
          </cell>
          <cell r="Q4">
            <v>4.0999999999999996</v>
          </cell>
          <cell r="R4">
            <v>4.4000000000000004</v>
          </cell>
        </row>
        <row r="5">
          <cell r="M5">
            <v>-2.0813759777960001</v>
          </cell>
          <cell r="N5">
            <v>6.1520224786752635</v>
          </cell>
          <cell r="O5">
            <v>2.5242138507322238</v>
          </cell>
          <cell r="P5">
            <v>2.934363224401551</v>
          </cell>
          <cell r="Q5">
            <v>2.7931871536384136</v>
          </cell>
          <cell r="R5">
            <v>2.1613819562385572</v>
          </cell>
        </row>
        <row r="6">
          <cell r="M6">
            <v>22087.16</v>
          </cell>
          <cell r="N6">
            <v>24813.599999999999</v>
          </cell>
          <cell r="O6">
            <v>26770.513999999999</v>
          </cell>
          <cell r="P6">
            <v>28424.722000000002</v>
          </cell>
          <cell r="Q6">
            <v>29825.182000000001</v>
          </cell>
          <cell r="R6">
            <v>31422.526000000002</v>
          </cell>
        </row>
        <row r="7">
          <cell r="M7">
            <v>19119.400000000001</v>
          </cell>
          <cell r="N7">
            <v>21502</v>
          </cell>
          <cell r="O7">
            <v>21293.1</v>
          </cell>
          <cell r="P7">
            <v>20779.900000000001</v>
          </cell>
          <cell r="Q7">
            <v>21487.599999999999</v>
          </cell>
          <cell r="R7">
            <v>22355.3</v>
          </cell>
        </row>
        <row r="8">
          <cell r="M8">
            <v>2277.9650000000001</v>
          </cell>
          <cell r="N8">
            <v>2777.5970000000002</v>
          </cell>
          <cell r="O8">
            <v>3057.6840000000002</v>
          </cell>
          <cell r="P8">
            <v>3109.6320000000001</v>
          </cell>
          <cell r="Q8">
            <v>3248.2550000000001</v>
          </cell>
          <cell r="R8">
            <v>3350.605</v>
          </cell>
        </row>
        <row r="9">
          <cell r="M9">
            <v>3036.076</v>
          </cell>
          <cell r="N9">
            <v>3686.3820000000001</v>
          </cell>
          <cell r="O9">
            <v>3908.3</v>
          </cell>
          <cell r="P9">
            <v>3897.6759999999999</v>
          </cell>
          <cell r="Q9">
            <v>4186.9210000000003</v>
          </cell>
          <cell r="R9">
            <v>4135.5810000000001</v>
          </cell>
        </row>
        <row r="10">
          <cell r="M10">
            <v>1.2230000000000001</v>
          </cell>
          <cell r="N10">
            <v>1.1317999999999999</v>
          </cell>
          <cell r="O10">
            <v>1.0698000000000001</v>
          </cell>
          <cell r="P10">
            <v>1.1062000000000001</v>
          </cell>
          <cell r="Q10">
            <v>1.0350999999999999</v>
          </cell>
          <cell r="R10">
            <v>1.1736</v>
          </cell>
        </row>
        <row r="11">
          <cell r="M11">
            <v>47.02</v>
          </cell>
          <cell r="N11">
            <v>71.709999999999994</v>
          </cell>
          <cell r="O11">
            <v>76.44</v>
          </cell>
          <cell r="P11">
            <v>71.900000000000006</v>
          </cell>
          <cell r="Q11">
            <v>70.12</v>
          </cell>
          <cell r="R11">
            <v>57.97</v>
          </cell>
        </row>
        <row r="12">
          <cell r="M12">
            <v>-15.15992182740778</v>
          </cell>
          <cell r="N12">
            <v>-10.38528087124573</v>
          </cell>
          <cell r="O12">
            <v>-5.300896454897317</v>
          </cell>
          <cell r="P12">
            <v>-6.2750991451165294</v>
          </cell>
          <cell r="Q12">
            <v>-6.8020782516640805</v>
          </cell>
          <cell r="R12">
            <v>-5.305566128329275</v>
          </cell>
        </row>
        <row r="14">
          <cell r="M14">
            <v>124.50926843955877</v>
          </cell>
          <cell r="N14">
            <v>118.28480953837082</v>
          </cell>
          <cell r="O14">
            <v>112.71753248771984</v>
          </cell>
          <cell r="P14">
            <v>114.73462594650985</v>
          </cell>
          <cell r="Q14">
            <v>115.76835261831579</v>
          </cell>
          <cell r="R14">
            <v>115.76835261831579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G13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3" sqref="B13:G13"/>
    </sheetView>
  </sheetViews>
  <sheetFormatPr defaultColWidth="16.28515625" defaultRowHeight="15.4" customHeight="1" x14ac:dyDescent="0.25"/>
  <cols>
    <col min="1" max="1" width="4.85546875" style="3" customWidth="1"/>
    <col min="2" max="7" width="9.7109375" style="3" customWidth="1"/>
    <col min="8" max="8" width="16.28515625" style="3" customWidth="1"/>
    <col min="9" max="16384" width="16.28515625" style="3"/>
  </cols>
  <sheetData>
    <row r="1" spans="1:7" ht="12.95" customHeight="1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.95" customHeight="1" x14ac:dyDescent="0.25">
      <c r="A2" s="4" t="s">
        <v>1</v>
      </c>
      <c r="B2" s="5">
        <f>[1]Y!M2</f>
        <v>1.2529399999999999</v>
      </c>
      <c r="C2" s="5">
        <f>[1]Y!N2</f>
        <v>4.6812399999999998</v>
      </c>
      <c r="D2" s="5">
        <f>[1]Y!O2</f>
        <v>7.9908200000000003</v>
      </c>
      <c r="E2" s="5">
        <f>[1]Y!P2</f>
        <v>4.1269600000000004</v>
      </c>
      <c r="F2" s="5">
        <f>[1]Y!Q2</f>
        <v>2.9521099999999998</v>
      </c>
      <c r="G2" s="5">
        <f>[1]Y!R2</f>
        <v>2.6343000000000001</v>
      </c>
    </row>
    <row r="3" spans="1:7" ht="12.95" customHeight="1" x14ac:dyDescent="0.25">
      <c r="A3" s="4" t="s">
        <v>2</v>
      </c>
      <c r="B3" s="5">
        <f>[1]Y!M3</f>
        <v>7.0000000000000007E-2</v>
      </c>
      <c r="C3" s="5">
        <f>[1]Y!N3</f>
        <v>4.33</v>
      </c>
      <c r="D3" s="5">
        <f>[1]Y!O3</f>
        <v>5.33</v>
      </c>
      <c r="E3" s="5">
        <f>[1]Y!P3</f>
        <v>4.33</v>
      </c>
      <c r="F3" s="5">
        <f>[1]Y!Q3</f>
        <v>3.64</v>
      </c>
      <c r="G3" s="5">
        <f>[1]Y!R3</f>
        <v>3.63</v>
      </c>
    </row>
    <row r="4" spans="1:7" ht="12.95" customHeight="1" x14ac:dyDescent="0.25">
      <c r="A4" s="4" t="s">
        <v>3</v>
      </c>
      <c r="B4" s="5">
        <f>[1]Y!M4</f>
        <v>6.7</v>
      </c>
      <c r="C4" s="5">
        <f>[1]Y!N4</f>
        <v>3.9</v>
      </c>
      <c r="D4" s="5">
        <f>[1]Y!O4</f>
        <v>3.5</v>
      </c>
      <c r="E4" s="5">
        <f>[1]Y!P4</f>
        <v>3.8</v>
      </c>
      <c r="F4" s="5">
        <f>[1]Y!Q4</f>
        <v>4.0999999999999996</v>
      </c>
      <c r="G4" s="5">
        <f>[1]Y!R4</f>
        <v>4.4000000000000004</v>
      </c>
    </row>
    <row r="5" spans="1:7" ht="12.95" customHeight="1" x14ac:dyDescent="0.25">
      <c r="A5" s="4" t="s">
        <v>4</v>
      </c>
      <c r="B5" s="5">
        <f>[1]Y!M5</f>
        <v>-2.0813759777960001</v>
      </c>
      <c r="C5" s="5">
        <f>[1]Y!N5</f>
        <v>6.1520224786752635</v>
      </c>
      <c r="D5" s="5">
        <f>[1]Y!O5</f>
        <v>2.5242138507322238</v>
      </c>
      <c r="E5" s="5">
        <f>[1]Y!P5</f>
        <v>2.934363224401551</v>
      </c>
      <c r="F5" s="5">
        <f>[1]Y!Q5</f>
        <v>2.7931871536384136</v>
      </c>
      <c r="G5" s="5">
        <f>[1]Y!R5</f>
        <v>2.1613819562385572</v>
      </c>
    </row>
    <row r="6" spans="1:7" ht="12.95" customHeight="1" x14ac:dyDescent="0.25">
      <c r="A6" s="4" t="s">
        <v>5</v>
      </c>
      <c r="B6" s="5">
        <f>[1]Y!M6</f>
        <v>22087.16</v>
      </c>
      <c r="C6" s="5">
        <f>[1]Y!N6</f>
        <v>24813.599999999999</v>
      </c>
      <c r="D6" s="5">
        <f>[1]Y!O6</f>
        <v>26770.513999999999</v>
      </c>
      <c r="E6" s="5">
        <f>[1]Y!P6</f>
        <v>28424.722000000002</v>
      </c>
      <c r="F6" s="5">
        <f>[1]Y!Q6</f>
        <v>29825.182000000001</v>
      </c>
      <c r="G6" s="5">
        <f>[1]Y!R6</f>
        <v>31422.526000000002</v>
      </c>
    </row>
    <row r="7" spans="1:7" ht="12.95" customHeight="1" x14ac:dyDescent="0.25">
      <c r="A7" s="4" t="s">
        <v>6</v>
      </c>
      <c r="B7" s="5">
        <f>[1]Y!M7</f>
        <v>19119.400000000001</v>
      </c>
      <c r="C7" s="5">
        <f>[1]Y!N7</f>
        <v>21502</v>
      </c>
      <c r="D7" s="5">
        <f>[1]Y!O7</f>
        <v>21293.1</v>
      </c>
      <c r="E7" s="5">
        <f>[1]Y!P7</f>
        <v>20779.900000000001</v>
      </c>
      <c r="F7" s="5">
        <f>[1]Y!Q7</f>
        <v>21487.599999999999</v>
      </c>
      <c r="G7" s="5">
        <f>[1]Y!R7</f>
        <v>22355.3</v>
      </c>
    </row>
    <row r="8" spans="1:7" ht="12.95" customHeight="1" x14ac:dyDescent="0.25">
      <c r="A8" s="4" t="s">
        <v>7</v>
      </c>
      <c r="B8" s="5">
        <f>[1]Y!M8</f>
        <v>2277.9650000000001</v>
      </c>
      <c r="C8" s="5">
        <f>[1]Y!N8</f>
        <v>2777.5970000000002</v>
      </c>
      <c r="D8" s="5">
        <f>[1]Y!O8</f>
        <v>3057.6840000000002</v>
      </c>
      <c r="E8" s="5">
        <f>[1]Y!P8</f>
        <v>3109.6320000000001</v>
      </c>
      <c r="F8" s="5">
        <f>[1]Y!Q8</f>
        <v>3248.2550000000001</v>
      </c>
      <c r="G8" s="5">
        <f>[1]Y!R8</f>
        <v>3350.605</v>
      </c>
    </row>
    <row r="9" spans="1:7" ht="12.95" customHeight="1" x14ac:dyDescent="0.25">
      <c r="A9" s="4" t="s">
        <v>8</v>
      </c>
      <c r="B9" s="5">
        <f>[1]Y!M9</f>
        <v>3036.076</v>
      </c>
      <c r="C9" s="5">
        <f>[1]Y!N9</f>
        <v>3686.3820000000001</v>
      </c>
      <c r="D9" s="5">
        <f>[1]Y!O9</f>
        <v>3908.3</v>
      </c>
      <c r="E9" s="5">
        <f>[1]Y!P9</f>
        <v>3897.6759999999999</v>
      </c>
      <c r="F9" s="5">
        <f>[1]Y!Q9</f>
        <v>4186.9210000000003</v>
      </c>
      <c r="G9" s="5">
        <f>[1]Y!R9</f>
        <v>4135.5810000000001</v>
      </c>
    </row>
    <row r="10" spans="1:7" ht="12.95" customHeight="1" x14ac:dyDescent="0.25">
      <c r="A10" s="4" t="s">
        <v>9</v>
      </c>
      <c r="B10" s="5">
        <f>[1]Y!M10</f>
        <v>1.2230000000000001</v>
      </c>
      <c r="C10" s="5">
        <f>[1]Y!N10</f>
        <v>1.1317999999999999</v>
      </c>
      <c r="D10" s="5">
        <f>[1]Y!O10</f>
        <v>1.0698000000000001</v>
      </c>
      <c r="E10" s="5">
        <f>[1]Y!P10</f>
        <v>1.1062000000000001</v>
      </c>
      <c r="F10" s="5">
        <f>[1]Y!Q10</f>
        <v>1.0350999999999999</v>
      </c>
      <c r="G10" s="5">
        <f>[1]Y!R10</f>
        <v>1.1736</v>
      </c>
    </row>
    <row r="11" spans="1:7" ht="12.95" customHeight="1" x14ac:dyDescent="0.25">
      <c r="A11" s="4" t="s">
        <v>10</v>
      </c>
      <c r="B11" s="5">
        <f>[1]Y!M11</f>
        <v>47.02</v>
      </c>
      <c r="C11" s="5">
        <f>[1]Y!N11</f>
        <v>71.709999999999994</v>
      </c>
      <c r="D11" s="5">
        <f>[1]Y!O11</f>
        <v>76.44</v>
      </c>
      <c r="E11" s="5">
        <f>[1]Y!P11</f>
        <v>71.900000000000006</v>
      </c>
      <c r="F11" s="5">
        <f>[1]Y!Q11</f>
        <v>70.12</v>
      </c>
      <c r="G11" s="5">
        <f>[1]Y!R11</f>
        <v>57.97</v>
      </c>
    </row>
    <row r="12" spans="1:7" ht="12.95" customHeight="1" x14ac:dyDescent="0.25">
      <c r="A12" s="4" t="s">
        <v>11</v>
      </c>
      <c r="B12" s="5">
        <f>[1]Y!M12</f>
        <v>-15.15992182740778</v>
      </c>
      <c r="C12" s="5">
        <f>[1]Y!N12</f>
        <v>-10.38528087124573</v>
      </c>
      <c r="D12" s="5">
        <f>[1]Y!O12</f>
        <v>-5.300896454897317</v>
      </c>
      <c r="E12" s="5">
        <f>[1]Y!P12</f>
        <v>-6.2750991451165294</v>
      </c>
      <c r="F12" s="5">
        <f>[1]Y!Q12</f>
        <v>-6.8020782516640805</v>
      </c>
      <c r="G12" s="5">
        <f>[1]Y!R12</f>
        <v>-5.305566128329275</v>
      </c>
    </row>
    <row r="13" spans="1:7" ht="15.4" customHeight="1" x14ac:dyDescent="0.25">
      <c r="A13" s="6" t="s">
        <v>12</v>
      </c>
      <c r="B13" s="7">
        <f>[1]Y!M14</f>
        <v>124.50926843955877</v>
      </c>
      <c r="C13" s="7">
        <f>[1]Y!N14</f>
        <v>118.28480953837082</v>
      </c>
      <c r="D13" s="7">
        <f>[1]Y!O14</f>
        <v>112.71753248771984</v>
      </c>
      <c r="E13" s="7">
        <f>[1]Y!P14</f>
        <v>114.73462594650985</v>
      </c>
      <c r="F13" s="7">
        <f>[1]Y!Q14</f>
        <v>115.76835261831579</v>
      </c>
      <c r="G13" s="7">
        <f>[1]Y!R14</f>
        <v>115.76835261831579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5_Y_NB</vt:lpstr>
    </vt:vector>
  </TitlesOfParts>
  <Company>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Аникеев Кирилл Сергеевич</dc:creator>
  <cp:lastModifiedBy>Аникеев Кирилл Сергеевич</cp:lastModifiedBy>
  <dcterms:created xsi:type="dcterms:W3CDTF">2026-09-02T11:10:41Z</dcterms:created>
  <dcterms:modified xsi:type="dcterms:W3CDTF">2026-09-02T11:10:50Z</dcterms:modified>
</cp:coreProperties>
</file>