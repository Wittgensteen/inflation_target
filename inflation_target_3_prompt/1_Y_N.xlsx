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ikeevks\Desktop\финальный свод\"/>
    </mc:Choice>
  </mc:AlternateContent>
  <bookViews>
    <workbookView xWindow="0" yWindow="0" windowWidth="28800" windowHeight="9600"/>
  </bookViews>
  <sheets>
    <sheet name="1_Y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<sst xmlns="http://schemas.openxmlformats.org/spreadsheetml/2006/main" count="13" uniqueCount="13">
  <si>
    <t>Y_cum</t>
  </si>
  <si>
    <t>Pi</t>
  </si>
  <si>
    <t>R</t>
  </si>
  <si>
    <t>Un</t>
  </si>
  <si>
    <t>dY</t>
  </si>
  <si>
    <t>Y</t>
  </si>
  <si>
    <t>M2</t>
  </si>
  <si>
    <t>Ex</t>
  </si>
  <si>
    <t>Im</t>
  </si>
  <si>
    <t>Fx</t>
  </si>
  <si>
    <t>Oil</t>
  </si>
  <si>
    <t>Bud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</si>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</sst>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70C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0" fillId="0" borderId="1" xfId="0" applyFont="1" applyBorder="1" applyAlignment="1"/>
    <xf numFmtId="0" fontId="1" fillId="0" borderId="1" xfId="0" applyNumberFormat="1" applyFont="1" applyBorder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4" fontId="2" fillId="0" borderId="1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ru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"/>
      <sheetName val="1_Y"/>
      <sheetName val="3_Y"/>
      <sheetName val="Q"/>
      <sheetName val="1Y-nom"/>
      <sheetName val="1Q-nom"/>
    </sheetNames>
    <sheetDataSet>
      <sheetData sheetId="0">
        <row r="2">
          <cell r="G2">
            <v>11.35</v>
          </cell>
          <cell r="H2">
            <v>12.9</v>
          </cell>
          <cell r="I2">
            <v>5.4</v>
          </cell>
          <cell r="J2">
            <v>2.5</v>
          </cell>
          <cell r="K2">
            <v>4.3</v>
          </cell>
          <cell r="L2">
            <v>3</v>
          </cell>
        </row>
        <row r="3">
          <cell r="G3">
            <v>17</v>
          </cell>
          <cell r="H3">
            <v>11</v>
          </cell>
          <cell r="I3">
            <v>10</v>
          </cell>
          <cell r="J3">
            <v>7.75</v>
          </cell>
          <cell r="K3">
            <v>7.75</v>
          </cell>
          <cell r="L3">
            <v>6.25</v>
          </cell>
        </row>
        <row r="4">
          <cell r="G4">
            <v>5.2</v>
          </cell>
          <cell r="H4">
            <v>5.6</v>
          </cell>
          <cell r="I4">
            <v>5.5</v>
          </cell>
          <cell r="J4">
            <v>5.2</v>
          </cell>
          <cell r="K4">
            <v>4.8</v>
          </cell>
          <cell r="L4">
            <v>4.5999999999999996</v>
          </cell>
        </row>
        <row r="5">
          <cell r="G5">
            <v>0.73626722140365075</v>
          </cell>
          <cell r="H5">
            <v>-1.9727192264298026</v>
          </cell>
          <cell r="I5">
            <v>0.19367113069881725</v>
          </cell>
          <cell r="J5">
            <v>1.8267052754919177</v>
          </cell>
          <cell r="K5">
            <v>2.8063408204665592</v>
          </cell>
          <cell r="L5">
            <v>2.1980757138198186</v>
          </cell>
        </row>
        <row r="6">
          <cell r="G6">
            <v>79030</v>
          </cell>
          <cell r="H6">
            <v>83087.399999999994</v>
          </cell>
          <cell r="I6">
            <v>85616.1</v>
          </cell>
          <cell r="J6">
            <v>91843.199999999997</v>
          </cell>
          <cell r="K6">
            <v>103861.7</v>
          </cell>
          <cell r="L6">
            <v>109608.3</v>
          </cell>
        </row>
        <row r="7">
          <cell r="G7">
            <v>30142</v>
          </cell>
          <cell r="H7">
            <v>32743</v>
          </cell>
          <cell r="I7">
            <v>36433</v>
          </cell>
          <cell r="J7">
            <v>40115</v>
          </cell>
          <cell r="K7">
            <v>44893</v>
          </cell>
          <cell r="L7">
            <v>49197</v>
          </cell>
        </row>
        <row r="8">
          <cell r="G8">
            <v>21425.9</v>
          </cell>
          <cell r="H8">
            <v>23848.9</v>
          </cell>
          <cell r="I8">
            <v>22135.599999999999</v>
          </cell>
          <cell r="J8">
            <v>23962.7</v>
          </cell>
          <cell r="K8">
            <v>31982.400000000001</v>
          </cell>
          <cell r="L8">
            <v>31165.4</v>
          </cell>
        </row>
        <row r="9">
          <cell r="G9">
            <v>16351.5</v>
          </cell>
          <cell r="H9">
            <v>17162.5</v>
          </cell>
          <cell r="I9">
            <v>17691.400000000001</v>
          </cell>
          <cell r="J9">
            <v>19090.2</v>
          </cell>
          <cell r="K9">
            <v>21590.400000000001</v>
          </cell>
          <cell r="L9">
            <v>22793.4</v>
          </cell>
        </row>
        <row r="10">
          <cell r="G10">
            <v>68.34</v>
          </cell>
          <cell r="H10">
            <v>79.69</v>
          </cell>
          <cell r="I10">
            <v>63.81</v>
          </cell>
          <cell r="J10">
            <v>68.86</v>
          </cell>
          <cell r="K10">
            <v>79.459999999999994</v>
          </cell>
          <cell r="L10">
            <v>69.34</v>
          </cell>
        </row>
        <row r="11">
          <cell r="G11">
            <v>59.29</v>
          </cell>
          <cell r="H11">
            <v>37.19</v>
          </cell>
          <cell r="I11">
            <v>51.97</v>
          </cell>
          <cell r="J11">
            <v>57.88</v>
          </cell>
          <cell r="K11">
            <v>49.52</v>
          </cell>
          <cell r="L11">
            <v>59.88</v>
          </cell>
        </row>
        <row r="12">
          <cell r="G12">
            <v>-0.42350425826153365</v>
          </cell>
          <cell r="H12">
            <v>-2.3601769107021764</v>
          </cell>
          <cell r="I12">
            <v>-3.4530960282815029</v>
          </cell>
          <cell r="J12">
            <v>-1.4496318066842186</v>
          </cell>
          <cell r="K12">
            <v>2.639439101771115</v>
          </cell>
          <cell r="L12">
            <v>1.801213343909184</v>
          </cell>
        </row>
        <row r="14">
          <cell r="G14">
            <v>11.200461282728584</v>
          </cell>
          <cell r="H14">
            <v>13.540765776855817</v>
          </cell>
          <cell r="I14">
            <v>14.241739579354817</v>
          </cell>
          <cell r="J14">
            <v>16.325374115884465</v>
          </cell>
          <cell r="K14">
            <v>16.168578985323752</v>
          </cell>
          <cell r="L14">
            <v>17.276048437937639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3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6" sqref="B16"/>
    </sheetView>
  </sheetViews>
  <sheetFormatPr defaultColWidth="8.85546875" defaultRowHeight="12.75" customHeight="1" x14ac:dyDescent="0.25"/>
  <cols>
    <col min="1" max="1" width="6.7109375" style="3" bestFit="1" customWidth="1"/>
    <col min="2" max="2" width="16.42578125" style="3" bestFit="1" customWidth="1"/>
    <col min="3" max="5" width="17.5703125" style="3" bestFit="1" customWidth="1"/>
    <col min="6" max="7" width="16.7109375" style="3" bestFit="1" customWidth="1"/>
    <col min="8" max="8" width="8.85546875" style="3" customWidth="1"/>
    <col min="9" max="16384" width="8.85546875" style="3"/>
  </cols>
  <sheetData>
    <row r="1" spans="1:7" ht="13.5" customHeight="1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3.5" customHeight="1" x14ac:dyDescent="0.25">
      <c r="A2" s="4" t="s">
        <v>1</v>
      </c>
      <c r="B2" s="5">
        <f>[1]Y!G2</f>
        <v>11.35</v>
      </c>
      <c r="C2" s="5">
        <f>[1]Y!H2</f>
        <v>12.9</v>
      </c>
      <c r="D2" s="5">
        <f>[1]Y!I2</f>
        <v>5.4</v>
      </c>
      <c r="E2" s="5">
        <f>[1]Y!J2</f>
        <v>2.5</v>
      </c>
      <c r="F2" s="5">
        <f>[1]Y!K2</f>
        <v>4.3</v>
      </c>
      <c r="G2" s="5">
        <f>[1]Y!L2</f>
        <v>3</v>
      </c>
    </row>
    <row r="3" spans="1:7" ht="13.5" customHeight="1" x14ac:dyDescent="0.25">
      <c r="A3" s="4" t="s">
        <v>2</v>
      </c>
      <c r="B3" s="5">
        <f>[1]Y!G3</f>
        <v>17</v>
      </c>
      <c r="C3" s="5">
        <f>[1]Y!H3</f>
        <v>11</v>
      </c>
      <c r="D3" s="5">
        <f>[1]Y!I3</f>
        <v>10</v>
      </c>
      <c r="E3" s="5">
        <f>[1]Y!J3</f>
        <v>7.75</v>
      </c>
      <c r="F3" s="5">
        <f>[1]Y!K3</f>
        <v>7.75</v>
      </c>
      <c r="G3" s="5">
        <f>[1]Y!L3</f>
        <v>6.25</v>
      </c>
    </row>
    <row r="4" spans="1:7" ht="13.5" customHeight="1" x14ac:dyDescent="0.25">
      <c r="A4" s="4" t="s">
        <v>3</v>
      </c>
      <c r="B4" s="5">
        <f>[1]Y!G4</f>
        <v>5.2</v>
      </c>
      <c r="C4" s="5">
        <f>[1]Y!H4</f>
        <v>5.6</v>
      </c>
      <c r="D4" s="5">
        <f>[1]Y!I4</f>
        <v>5.5</v>
      </c>
      <c r="E4" s="5">
        <f>[1]Y!J4</f>
        <v>5.2</v>
      </c>
      <c r="F4" s="5">
        <f>[1]Y!K4</f>
        <v>4.8</v>
      </c>
      <c r="G4" s="5">
        <f>[1]Y!L4</f>
        <v>4.5999999999999996</v>
      </c>
    </row>
    <row r="5" spans="1:7" ht="13.5" customHeight="1" x14ac:dyDescent="0.25">
      <c r="A5" s="4" t="s">
        <v>4</v>
      </c>
      <c r="B5" s="5">
        <f>[1]Y!G5</f>
        <v>0.73626722140365075</v>
      </c>
      <c r="C5" s="5">
        <f>[1]Y!H5</f>
        <v>-1.9727192264298026</v>
      </c>
      <c r="D5" s="5">
        <f>[1]Y!I5</f>
        <v>0.19367113069881725</v>
      </c>
      <c r="E5" s="5">
        <f>[1]Y!J5</f>
        <v>1.8267052754919177</v>
      </c>
      <c r="F5" s="5">
        <f>[1]Y!K5</f>
        <v>2.8063408204665592</v>
      </c>
      <c r="G5" s="5">
        <f>[1]Y!L5</f>
        <v>2.1980757138198186</v>
      </c>
    </row>
    <row r="6" spans="1:7" ht="13.5" customHeight="1" x14ac:dyDescent="0.25">
      <c r="A6" s="4" t="s">
        <v>5</v>
      </c>
      <c r="B6" s="5">
        <f>[1]Y!G6</f>
        <v>79030</v>
      </c>
      <c r="C6" s="5">
        <f>[1]Y!H6</f>
        <v>83087.399999999994</v>
      </c>
      <c r="D6" s="5">
        <f>[1]Y!I6</f>
        <v>85616.1</v>
      </c>
      <c r="E6" s="5">
        <f>[1]Y!J6</f>
        <v>91843.199999999997</v>
      </c>
      <c r="F6" s="5">
        <f>[1]Y!K6</f>
        <v>103861.7</v>
      </c>
      <c r="G6" s="5">
        <f>[1]Y!L6</f>
        <v>109608.3</v>
      </c>
    </row>
    <row r="7" spans="1:7" ht="13.5" customHeight="1" x14ac:dyDescent="0.25">
      <c r="A7" s="4" t="s">
        <v>6</v>
      </c>
      <c r="B7" s="5">
        <f>[1]Y!G7</f>
        <v>30142</v>
      </c>
      <c r="C7" s="5">
        <f>[1]Y!H7</f>
        <v>32743</v>
      </c>
      <c r="D7" s="5">
        <f>[1]Y!I7</f>
        <v>36433</v>
      </c>
      <c r="E7" s="5">
        <f>[1]Y!J7</f>
        <v>40115</v>
      </c>
      <c r="F7" s="5">
        <f>[1]Y!K7</f>
        <v>44893</v>
      </c>
      <c r="G7" s="5">
        <f>[1]Y!L7</f>
        <v>49197</v>
      </c>
    </row>
    <row r="8" spans="1:7" ht="13.5" customHeight="1" x14ac:dyDescent="0.25">
      <c r="A8" s="4" t="s">
        <v>7</v>
      </c>
      <c r="B8" s="5">
        <f>[1]Y!G8</f>
        <v>21425.9</v>
      </c>
      <c r="C8" s="5">
        <f>[1]Y!H8</f>
        <v>23848.9</v>
      </c>
      <c r="D8" s="5">
        <f>[1]Y!I8</f>
        <v>22135.599999999999</v>
      </c>
      <c r="E8" s="5">
        <f>[1]Y!J8</f>
        <v>23962.7</v>
      </c>
      <c r="F8" s="5">
        <f>[1]Y!K8</f>
        <v>31982.400000000001</v>
      </c>
      <c r="G8" s="5">
        <f>[1]Y!L8</f>
        <v>31165.4</v>
      </c>
    </row>
    <row r="9" spans="1:7" ht="13.5" customHeight="1" x14ac:dyDescent="0.25">
      <c r="A9" s="4" t="s">
        <v>8</v>
      </c>
      <c r="B9" s="5">
        <f>[1]Y!G9</f>
        <v>16351.5</v>
      </c>
      <c r="C9" s="5">
        <f>[1]Y!H9</f>
        <v>17162.5</v>
      </c>
      <c r="D9" s="5">
        <f>[1]Y!I9</f>
        <v>17691.400000000001</v>
      </c>
      <c r="E9" s="5">
        <f>[1]Y!J9</f>
        <v>19090.2</v>
      </c>
      <c r="F9" s="5">
        <f>[1]Y!K9</f>
        <v>21590.400000000001</v>
      </c>
      <c r="G9" s="5">
        <f>[1]Y!L9</f>
        <v>22793.4</v>
      </c>
    </row>
    <row r="10" spans="1:7" ht="13.5" customHeight="1" x14ac:dyDescent="0.25">
      <c r="A10" s="4" t="s">
        <v>9</v>
      </c>
      <c r="B10" s="5">
        <f>[1]Y!G10</f>
        <v>68.34</v>
      </c>
      <c r="C10" s="5">
        <f>[1]Y!H10</f>
        <v>79.69</v>
      </c>
      <c r="D10" s="5">
        <f>[1]Y!I10</f>
        <v>63.81</v>
      </c>
      <c r="E10" s="5">
        <f>[1]Y!J10</f>
        <v>68.86</v>
      </c>
      <c r="F10" s="5">
        <f>[1]Y!K10</f>
        <v>79.459999999999994</v>
      </c>
      <c r="G10" s="5">
        <f>[1]Y!L10</f>
        <v>69.34</v>
      </c>
    </row>
    <row r="11" spans="1:7" ht="13.5" customHeight="1" x14ac:dyDescent="0.25">
      <c r="A11" s="4" t="s">
        <v>10</v>
      </c>
      <c r="B11" s="5">
        <f>[1]Y!G11</f>
        <v>59.29</v>
      </c>
      <c r="C11" s="5">
        <f>[1]Y!H11</f>
        <v>37.19</v>
      </c>
      <c r="D11" s="5">
        <f>[1]Y!I11</f>
        <v>51.97</v>
      </c>
      <c r="E11" s="5">
        <f>[1]Y!J11</f>
        <v>57.88</v>
      </c>
      <c r="F11" s="5">
        <f>[1]Y!K11</f>
        <v>49.52</v>
      </c>
      <c r="G11" s="5">
        <f>[1]Y!L11</f>
        <v>59.88</v>
      </c>
    </row>
    <row r="12" spans="1:7" ht="13.5" customHeight="1" x14ac:dyDescent="0.25">
      <c r="A12" s="4" t="s">
        <v>11</v>
      </c>
      <c r="B12" s="5">
        <f>[1]Y!G12</f>
        <v>-0.42350425826153365</v>
      </c>
      <c r="C12" s="5">
        <f>[1]Y!H12</f>
        <v>-2.3601769107021764</v>
      </c>
      <c r="D12" s="5">
        <f>[1]Y!I12</f>
        <v>-3.4530960282815029</v>
      </c>
      <c r="E12" s="5">
        <f>[1]Y!J12</f>
        <v>-1.4496318066842186</v>
      </c>
      <c r="F12" s="5">
        <f>[1]Y!K12</f>
        <v>2.639439101771115</v>
      </c>
      <c r="G12" s="5">
        <f>[1]Y!L12</f>
        <v>1.801213343909184</v>
      </c>
    </row>
    <row r="13" spans="1:7" ht="12.75" customHeight="1" x14ac:dyDescent="0.25">
      <c r="A13" s="4" t="s">
        <v>12</v>
      </c>
      <c r="B13" s="5">
        <f>[1]Y!G14</f>
        <v>11.200461282728584</v>
      </c>
      <c r="C13" s="5">
        <f>[1]Y!H14</f>
        <v>13.540765776855817</v>
      </c>
      <c r="D13" s="5">
        <f>[1]Y!I14</f>
        <v>14.241739579354817</v>
      </c>
      <c r="E13" s="5">
        <f>[1]Y!J14</f>
        <v>16.325374115884465</v>
      </c>
      <c r="F13" s="5">
        <f>[1]Y!K14</f>
        <v>16.168578985323752</v>
      </c>
      <c r="G13" s="5">
        <f>[1]Y!L14</f>
        <v>17.276048437937639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1_Y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Аникеев Кирилл Сергеевич</dc:creator>
  <cp:lastModifiedBy>Аникеев Кирилл Сергеевич</cp:lastModifiedBy>
  <dcterms:created xsi:type="dcterms:W3CDTF">2026-09-01T14:51:07Z</dcterms:created>
  <dcterms:modified xsi:type="dcterms:W3CDTF">2026-09-01T14:51:20Z</dcterms:modified>
</cp:coreProperties>
</file>